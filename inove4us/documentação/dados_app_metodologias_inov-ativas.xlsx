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5d749429b2045b9/LeAction/APP METODOLOGIAS/"/>
    </mc:Choice>
  </mc:AlternateContent>
  <xr:revisionPtr revIDLastSave="8" documentId="8_{8477ED0B-840F-4216-B55A-FD16DD248424}" xr6:coauthVersionLast="47" xr6:coauthVersionMax="47" xr10:uidLastSave="{3844E147-33BE-4AD6-9CB3-FE13F252F323}"/>
  <bookViews>
    <workbookView xWindow="-120" yWindow="-120" windowWidth="29040" windowHeight="15720" activeTab="3" xr2:uid="{00000000-000D-0000-FFFF-FFFF00000000}"/>
  </bookViews>
  <sheets>
    <sheet name="T01_Usuarios" sheetId="1" r:id="rId1"/>
    <sheet name="T02_Interacoes" sheetId="2" r:id="rId2"/>
    <sheet name="T03_Funil" sheetId="3" r:id="rId3"/>
    <sheet name="T04_Inteligenc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F13" i="3" s="1"/>
  <c r="E12" i="3"/>
  <c r="F12" i="3" s="1"/>
  <c r="E11" i="3"/>
  <c r="E10" i="3"/>
  <c r="F10" i="3" s="1"/>
  <c r="E9" i="3"/>
  <c r="F9" i="3" s="1"/>
  <c r="E8" i="3"/>
  <c r="E7" i="3"/>
  <c r="F7" i="3" s="1"/>
  <c r="E6" i="3"/>
  <c r="F6" i="3" s="1"/>
  <c r="E5" i="3"/>
  <c r="F5" i="3" s="1"/>
  <c r="E4" i="3"/>
  <c r="F11" i="3" l="1"/>
  <c r="F8" i="3"/>
</calcChain>
</file>

<file path=xl/sharedStrings.xml><?xml version="1.0" encoding="utf-8"?>
<sst xmlns="http://schemas.openxmlformats.org/spreadsheetml/2006/main" count="163" uniqueCount="125">
  <si>
    <t>T01_Usuarios — cadastro e perfil dos professores</t>
  </si>
  <si>
    <t>ID_Usuario</t>
  </si>
  <si>
    <t>Data_Cadastro</t>
  </si>
  <si>
    <t>Nome</t>
  </si>
  <si>
    <t>Email</t>
  </si>
  <si>
    <t>LinkedIn</t>
  </si>
  <si>
    <t>Estado_UF</t>
  </si>
  <si>
    <t>Funcao</t>
  </si>
  <si>
    <t>Segmento_Atuacao</t>
  </si>
  <si>
    <t>Modalidade_Predominante</t>
  </si>
  <si>
    <t>Conhece_Livro</t>
  </si>
  <si>
    <t>Relacao_Com_Livro</t>
  </si>
  <si>
    <t>Deseja_Conhecer_Livro</t>
  </si>
  <si>
    <t>Aceita_Novidades</t>
  </si>
  <si>
    <t>Interesse_Metodologias</t>
  </si>
  <si>
    <t>Interesse_IA</t>
  </si>
  <si>
    <t>Interesse_DI</t>
  </si>
  <si>
    <t>Interesse_TD</t>
  </si>
  <si>
    <t>Interesse_Casos</t>
  </si>
  <si>
    <t>Canal_Preferido</t>
  </si>
  <si>
    <t>Data_Ultimo_Acesso</t>
  </si>
  <si>
    <t>Total_Planos_Gerados</t>
  </si>
  <si>
    <t>USR-0001</t>
  </si>
  <si>
    <t>Mariana Silva</t>
  </si>
  <si>
    <t>mariana@email.com</t>
  </si>
  <si>
    <t>SP</t>
  </si>
  <si>
    <t>Professora</t>
  </si>
  <si>
    <t>Ensino Médio</t>
  </si>
  <si>
    <t>Presencial</t>
  </si>
  <si>
    <t>Sim</t>
  </si>
  <si>
    <t>Livro físico</t>
  </si>
  <si>
    <t>Não</t>
  </si>
  <si>
    <t>E-mail</t>
  </si>
  <si>
    <t>T02_Interacoes — jornada e uso do aplicativo</t>
  </si>
  <si>
    <t>ID_Interacao</t>
  </si>
  <si>
    <t>ID_Sessao</t>
  </si>
  <si>
    <t>Data_Hora</t>
  </si>
  <si>
    <t>Canal_Entrada</t>
  </si>
  <si>
    <t>Evento</t>
  </si>
  <si>
    <t>Etapa_Funil</t>
  </si>
  <si>
    <t>Tipo_Entrada_Desafio</t>
  </si>
  <si>
    <t>Desafio_Original</t>
  </si>
  <si>
    <t>Desafio_Sintese_IA</t>
  </si>
  <si>
    <t>Categoria_Desafio</t>
  </si>
  <si>
    <t>Disciplina</t>
  </si>
  <si>
    <t>Modalidade_Aula</t>
  </si>
  <si>
    <t>Numero_Alunos</t>
  </si>
  <si>
    <t>Metodologia_Sugerida</t>
  </si>
  <si>
    <t>Grupo_Metodologia</t>
  </si>
  <si>
    <t>Justificativa_Curta</t>
  </si>
  <si>
    <t>Plano_Gerado</t>
  </si>
  <si>
    <t>Cadastro_Iniciado</t>
  </si>
  <si>
    <t>Cadastro_Concluido</t>
  </si>
  <si>
    <t>Clicou_Conheca_Livro</t>
  </si>
  <si>
    <t>Clicou_Exemplo</t>
  </si>
  <si>
    <t>Tempo_Sessao_Min</t>
  </si>
  <si>
    <t>Observacoes</t>
  </si>
  <si>
    <t>INT-0001</t>
  </si>
  <si>
    <t>SES-0001</t>
  </si>
  <si>
    <t>Plano gerado</t>
  </si>
  <si>
    <t>Gerou plano completo</t>
  </si>
  <si>
    <t>Texto</t>
  </si>
  <si>
    <t>Meus alunos participam pouco das discussões sobre Revolução Francesa.</t>
  </si>
  <si>
    <t>Baixa participação em discussão de conteúdo histórico.</t>
  </si>
  <si>
    <t>Participação/engajamento</t>
  </si>
  <si>
    <t>História</t>
  </si>
  <si>
    <t>Discurso de Elevador</t>
  </si>
  <si>
    <t>Criativas</t>
  </si>
  <si>
    <t>Favorece síntese, argumentação e participação oral em ciclos curtos.</t>
  </si>
  <si>
    <t>T03_Funil — métricas de conversão do aplicativo</t>
  </si>
  <si>
    <t>Ordem</t>
  </si>
  <si>
    <t>Etapa</t>
  </si>
  <si>
    <t>Definicao</t>
  </si>
  <si>
    <t>Evento_Base</t>
  </si>
  <si>
    <t>Quantidade</t>
  </si>
  <si>
    <t>Taxa_sobre_etapa_anterior</t>
  </si>
  <si>
    <t>Visitantes</t>
  </si>
  <si>
    <t>Entraram na página inicial.</t>
  </si>
  <si>
    <t>Visita inicial</t>
  </si>
  <si>
    <t>Topo do funil.</t>
  </si>
  <si>
    <t>Enviaram desafio</t>
  </si>
  <si>
    <t>Escreveram, gravaram ou selecionaram um desafio.</t>
  </si>
  <si>
    <t>Desafio enviado</t>
  </si>
  <si>
    <t>Receberam sugestão inicial</t>
  </si>
  <si>
    <t>Visualizaram a metodologia recomendada.</t>
  </si>
  <si>
    <t>Sugestão inicial exibida</t>
  </si>
  <si>
    <t>Primeira entrega de valor.</t>
  </si>
  <si>
    <t>Principal intenção de conversão.</t>
  </si>
  <si>
    <t>Iniciaram cadastro</t>
  </si>
  <si>
    <t>Abriram a etapa de cadastro gratuito.</t>
  </si>
  <si>
    <t>Cadastro iniciado</t>
  </si>
  <si>
    <t>Identifica atrito no cadastro.</t>
  </si>
  <si>
    <t>Concluíram cadastro</t>
  </si>
  <si>
    <t>Informaram dados obrigatórios.</t>
  </si>
  <si>
    <t>Cadastro concluído</t>
  </si>
  <si>
    <t>Base qualificada.</t>
  </si>
  <si>
    <t>Conversão principal.</t>
  </si>
  <si>
    <t>Solicitaram envio por e-mail</t>
  </si>
  <si>
    <t>Envio por email solicitado</t>
  </si>
  <si>
    <t>Uso recorrente e retenção.</t>
  </si>
  <si>
    <t>Clicaram em Conheça o livro</t>
  </si>
  <si>
    <t>Clicaram na chamada para o livro.</t>
  </si>
  <si>
    <t>Clique conheça livro</t>
  </si>
  <si>
    <t>Interesse editorial.</t>
  </si>
  <si>
    <t>Aceitaram novidades</t>
  </si>
  <si>
    <t>Autorizaram comunicações futuras.</t>
  </si>
  <si>
    <t>Opt-in novidades</t>
  </si>
  <si>
    <t>Base de relacionamento.</t>
  </si>
  <si>
    <t>T04_Inteligencia — dados pedagógicos para análise editorial e produto</t>
  </si>
  <si>
    <t>ID_Registro</t>
  </si>
  <si>
    <t>Avaliacao_Usuario_1a5</t>
  </si>
  <si>
    <t>Comentario_Usuario</t>
  </si>
  <si>
    <t>Caso_Compartilhado</t>
  </si>
  <si>
    <t>Observacoes_Editorial</t>
  </si>
  <si>
    <t>PED-0001</t>
  </si>
  <si>
    <t>A sugestão foi clara e aplicável.</t>
  </si>
  <si>
    <t>Potencial exemplo para capítulo sobre metodologias criativas.</t>
  </si>
  <si>
    <t>Mede interesse real e canal de comunicação escolhido</t>
  </si>
  <si>
    <t>Clicaram em Gerar Roteiro de Aulas</t>
  </si>
  <si>
    <t>Ativaram o botão para gerar o Roteiro de Aulas</t>
  </si>
  <si>
    <t>Clique gerar roteiro</t>
  </si>
  <si>
    <t>Roteiro gerado</t>
  </si>
  <si>
    <t>Geraram Roteiro completo</t>
  </si>
  <si>
    <t>Receberam o Roteiro de Aulas personalizado.</t>
  </si>
  <si>
    <t>Pediram para receber o roteiro por e-mail.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</si>
</sst>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%"/>
  </numFmts>
  <fonts count="3">
    <font>
      <sz val="11"/>
      <name val="Carlito"/>
    </font>
    <font>
      <b/>
      <sz val="14"/>
      <color rgb="FF3B1D5A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5E7F7"/>
      </patternFill>
    </fill>
    <fill>
      <patternFill patternType="solid">
        <fgColor rgb="FF3B1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uariosTable" displayName="UsuariosTable" ref="A3:T104">
  <tableColumns count="20">
    <tableColumn id="1" xr3:uid="{00000000-0010-0000-0000-000001000000}" name="ID_Usuario"/>
    <tableColumn id="2" xr3:uid="{00000000-0010-0000-0000-000002000000}" name="Data_Cadastro"/>
    <tableColumn id="3" xr3:uid="{00000000-0010-0000-0000-000003000000}" name="Nome"/>
    <tableColumn id="4" xr3:uid="{00000000-0010-0000-0000-000004000000}" name="Email"/>
    <tableColumn id="6" xr3:uid="{00000000-0010-0000-0000-000006000000}" name="Estado_UF"/>
    <tableColumn id="7" xr3:uid="{00000000-0010-0000-0000-000007000000}" name="Funcao"/>
    <tableColumn id="8" xr3:uid="{00000000-0010-0000-0000-000008000000}" name="Segmento_Atuacao"/>
    <tableColumn id="9" xr3:uid="{00000000-0010-0000-0000-000009000000}" name="Modalidade_Predominante"/>
    <tableColumn id="10" xr3:uid="{00000000-0010-0000-0000-00000A000000}" name="Conhece_Livro"/>
    <tableColumn id="11" xr3:uid="{00000000-0010-0000-0000-00000B000000}" name="Relacao_Com_Livro"/>
    <tableColumn id="12" xr3:uid="{00000000-0010-0000-0000-00000C000000}" name="Deseja_Conhecer_Livro"/>
    <tableColumn id="13" xr3:uid="{00000000-0010-0000-0000-00000D000000}" name="Aceita_Novidades"/>
    <tableColumn id="14" xr3:uid="{00000000-0010-0000-0000-00000E000000}" name="Interesse_Metodologias"/>
    <tableColumn id="15" xr3:uid="{00000000-0010-0000-0000-00000F000000}" name="Interesse_IA"/>
    <tableColumn id="16" xr3:uid="{00000000-0010-0000-0000-000010000000}" name="Interesse_DI"/>
    <tableColumn id="17" xr3:uid="{00000000-0010-0000-0000-000011000000}" name="Interesse_TD"/>
    <tableColumn id="18" xr3:uid="{00000000-0010-0000-0000-000012000000}" name="Interesse_Casos"/>
    <tableColumn id="19" xr3:uid="{00000000-0010-0000-0000-000013000000}" name="Canal_Preferido"/>
    <tableColumn id="20" xr3:uid="{00000000-0010-0000-0000-000014000000}" name="Data_Ultimo_Acesso"/>
    <tableColumn id="21" xr3:uid="{00000000-0010-0000-0000-000015000000}" name="Total_Planos_Gerad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racoesTable" displayName="InteracoesTable" ref="A3:X504">
  <tableColumns count="24">
    <tableColumn id="1" xr3:uid="{00000000-0010-0000-0100-000001000000}" name="ID_Interacao"/>
    <tableColumn id="2" xr3:uid="{00000000-0010-0000-0100-000002000000}" name="ID_Usuario"/>
    <tableColumn id="3" xr3:uid="{00000000-0010-0000-0100-000003000000}" name="ID_Sessao"/>
    <tableColumn id="4" xr3:uid="{00000000-0010-0000-0100-000004000000}" name="Data_Hora"/>
    <tableColumn id="5" xr3:uid="{00000000-0010-0000-0100-000005000000}" name="Canal_Entrada"/>
    <tableColumn id="6" xr3:uid="{00000000-0010-0000-0100-000006000000}" name="Evento"/>
    <tableColumn id="7" xr3:uid="{00000000-0010-0000-0100-000007000000}" name="Etapa_Funil"/>
    <tableColumn id="8" xr3:uid="{00000000-0010-0000-0100-000008000000}" name="Tipo_Entrada_Desafio"/>
    <tableColumn id="9" xr3:uid="{00000000-0010-0000-0100-000009000000}" name="Desafio_Original"/>
    <tableColumn id="10" xr3:uid="{00000000-0010-0000-0100-00000A000000}" name="Desafio_Sintese_IA"/>
    <tableColumn id="11" xr3:uid="{00000000-0010-0000-0100-00000B000000}" name="Categoria_Desafio"/>
    <tableColumn id="12" xr3:uid="{00000000-0010-0000-0100-00000C000000}" name="Disciplina"/>
    <tableColumn id="13" xr3:uid="{00000000-0010-0000-0100-00000D000000}" name="Modalidade_Aula"/>
    <tableColumn id="14" xr3:uid="{00000000-0010-0000-0100-00000E000000}" name="Numero_Alunos"/>
    <tableColumn id="15" xr3:uid="{00000000-0010-0000-0100-00000F000000}" name="Metodologia_Sugerida"/>
    <tableColumn id="16" xr3:uid="{00000000-0010-0000-0100-000010000000}" name="Grupo_Metodologia"/>
    <tableColumn id="17" xr3:uid="{00000000-0010-0000-0100-000011000000}" name="Justificativa_Curta"/>
    <tableColumn id="18" xr3:uid="{00000000-0010-0000-0100-000012000000}" name="Plano_Gerado"/>
    <tableColumn id="19" xr3:uid="{00000000-0010-0000-0100-000013000000}" name="Cadastro_Iniciado"/>
    <tableColumn id="20" xr3:uid="{00000000-0010-0000-0100-000014000000}" name="Cadastro_Concluido"/>
    <tableColumn id="21" xr3:uid="{00000000-0010-0000-0100-000015000000}" name="Clicou_Conheca_Livro"/>
    <tableColumn id="22" xr3:uid="{00000000-0010-0000-0100-000016000000}" name="Clicou_Exemplo"/>
    <tableColumn id="23" xr3:uid="{00000000-0010-0000-0100-000017000000}" name="Tempo_Sessao_Min"/>
    <tableColumn id="24" xr3:uid="{00000000-0010-0000-0100-000018000000}" name="Observaco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ilTable" displayName="FunilTable" ref="A3:G13">
  <tableColumns count="7">
    <tableColumn id="1" xr3:uid="{00000000-0010-0000-0200-000001000000}" name="Ordem"/>
    <tableColumn id="2" xr3:uid="{00000000-0010-0000-0200-000002000000}" name="Etapa"/>
    <tableColumn id="3" xr3:uid="{00000000-0010-0000-0200-000003000000}" name="Definicao"/>
    <tableColumn id="4" xr3:uid="{00000000-0010-0000-0200-000004000000}" name="Evento_Base"/>
    <tableColumn id="5" xr3:uid="{00000000-0010-0000-0200-000005000000}" name="Quantidade"/>
    <tableColumn id="6" xr3:uid="{00000000-0010-0000-0200-000006000000}" name="Taxa_sobre_etapa_anterior"/>
    <tableColumn id="7" xr3:uid="{00000000-0010-0000-0200-000007000000}" name="Observaco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eligenciaTable" displayName="InteligenciaTable" ref="A3:Q504">
  <tableColumns count="17">
    <tableColumn id="1" xr3:uid="{00000000-0010-0000-0300-000001000000}" name="ID_Registro"/>
    <tableColumn id="2" xr3:uid="{00000000-0010-0000-0300-000002000000}" name="ID_Usuario"/>
    <tableColumn id="3" xr3:uid="{00000000-0010-0000-0300-000003000000}" name="Data_Hora"/>
    <tableColumn id="4" xr3:uid="{00000000-0010-0000-0300-000004000000}" name="Desafio_Original"/>
    <tableColumn id="5" xr3:uid="{00000000-0010-0000-0300-000005000000}" name="Desafio_Sintese_IA"/>
    <tableColumn id="6" xr3:uid="{00000000-0010-0000-0300-000006000000}" name="Categoria_Desafio"/>
    <tableColumn id="7" xr3:uid="{00000000-0010-0000-0300-000007000000}" name="Disciplina"/>
    <tableColumn id="8" xr3:uid="{00000000-0010-0000-0300-000008000000}" name="Segmento_Atuacao"/>
    <tableColumn id="9" xr3:uid="{00000000-0010-0000-0300-000009000000}" name="Modalidade_Aula"/>
    <tableColumn id="10" xr3:uid="{00000000-0010-0000-0300-00000A000000}" name="Numero_Alunos"/>
    <tableColumn id="11" xr3:uid="{00000000-0010-0000-0300-00000B000000}" name="Metodologia_Sugerida"/>
    <tableColumn id="12" xr3:uid="{00000000-0010-0000-0300-00000C000000}" name="Grupo_Metodologia"/>
    <tableColumn id="13" xr3:uid="{00000000-0010-0000-0300-00000D000000}" name="Plano_Gerado"/>
    <tableColumn id="14" xr3:uid="{00000000-0010-0000-0300-00000E000000}" name="Avaliacao_Usuario_1a5"/>
    <tableColumn id="15" xr3:uid="{00000000-0010-0000-0300-00000F000000}" name="Comentario_Usuario"/>
    <tableColumn id="16" xr3:uid="{00000000-0010-0000-0300-000010000000}" name="Caso_Compartilhado"/>
    <tableColumn id="17" xr3:uid="{00000000-0010-0000-0300-000011000000}" name="Observacoes_Edito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"/>
  <sheetViews>
    <sheetView workbookViewId="0">
      <selection activeCell="E2" sqref="E1:E1048576"/>
    </sheetView>
  </sheetViews>
  <sheetFormatPr defaultRowHeight="14.25"/>
  <cols>
    <col min="1" max="1" width="14" customWidth="1"/>
    <col min="2" max="2" width="18" customWidth="1"/>
    <col min="3" max="3" width="22" customWidth="1"/>
    <col min="4" max="4" width="28" customWidth="1"/>
    <col min="5" max="5" width="10" customWidth="1"/>
    <col min="6" max="6" width="18" customWidth="1"/>
    <col min="7" max="7" width="22" customWidth="1"/>
    <col min="8" max="8" width="18" customWidth="1"/>
    <col min="9" max="9" width="14" customWidth="1"/>
    <col min="10" max="10" width="22" customWidth="1"/>
    <col min="11" max="13" width="18" customWidth="1"/>
    <col min="14" max="17" width="14" customWidth="1"/>
    <col min="18" max="18" width="16" customWidth="1"/>
    <col min="19" max="19" width="18" customWidth="1"/>
    <col min="20" max="20" width="16" customWidth="1"/>
  </cols>
  <sheetData>
    <row r="1" spans="1:20" ht="27.9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3" spans="1:20" ht="33.950000000000003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>
      <c r="A4" s="2" t="s">
        <v>22</v>
      </c>
      <c r="B4" s="3">
        <v>46175.375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29</v>
      </c>
      <c r="M4" s="2" t="s">
        <v>29</v>
      </c>
      <c r="N4" s="2" t="s">
        <v>29</v>
      </c>
      <c r="O4" s="2" t="s">
        <v>31</v>
      </c>
      <c r="P4" s="2" t="s">
        <v>29</v>
      </c>
      <c r="Q4" s="2" t="s">
        <v>29</v>
      </c>
      <c r="R4" s="2" t="s">
        <v>32</v>
      </c>
      <c r="S4" s="3">
        <v>46175.381944444445</v>
      </c>
      <c r="T4" s="2">
        <v>1</v>
      </c>
    </row>
    <row r="5" spans="1:20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</row>
    <row r="6" spans="1:20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</row>
    <row r="7" spans="1:20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  <c r="T7" s="2"/>
    </row>
    <row r="8" spans="1:20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  <c r="T8" s="2"/>
    </row>
    <row r="9" spans="1:20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2"/>
    </row>
    <row r="10" spans="1:20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2"/>
    </row>
    <row r="11" spans="1:20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2"/>
    </row>
    <row r="12" spans="1:20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2"/>
    </row>
    <row r="13" spans="1:20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2"/>
    </row>
    <row r="14" spans="1:20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T14" s="2"/>
    </row>
    <row r="15" spans="1:20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2"/>
    </row>
    <row r="16" spans="1:20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2"/>
    </row>
    <row r="17" spans="1:20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  <c r="T17" s="2"/>
    </row>
    <row r="18" spans="1:20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  <c r="T18" s="2"/>
    </row>
    <row r="19" spans="1:20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2"/>
    </row>
    <row r="20" spans="1:20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</row>
    <row r="21" spans="1:20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2"/>
    </row>
    <row r="22" spans="1:20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2"/>
    </row>
    <row r="23" spans="1:20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2"/>
    </row>
    <row r="24" spans="1:20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2"/>
    </row>
    <row r="25" spans="1:20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2"/>
    </row>
    <row r="26" spans="1:20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2"/>
    </row>
    <row r="27" spans="1:20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2"/>
    </row>
    <row r="28" spans="1:20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2"/>
    </row>
    <row r="29" spans="1:20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2"/>
    </row>
    <row r="30" spans="1:20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2"/>
    </row>
    <row r="31" spans="1:20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2"/>
    </row>
    <row r="32" spans="1:20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2"/>
    </row>
    <row r="33" spans="1:20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2"/>
    </row>
    <row r="34" spans="1:20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2"/>
    </row>
    <row r="35" spans="1:20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2"/>
    </row>
    <row r="36" spans="1:20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2"/>
    </row>
    <row r="37" spans="1:20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2"/>
    </row>
    <row r="38" spans="1:20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2"/>
    </row>
    <row r="39" spans="1:20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2"/>
    </row>
    <row r="40" spans="1:20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2"/>
    </row>
    <row r="41" spans="1:20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2"/>
    </row>
    <row r="42" spans="1:20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2"/>
    </row>
    <row r="43" spans="1:20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2"/>
    </row>
    <row r="44" spans="1:20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2"/>
    </row>
    <row r="45" spans="1:20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2"/>
    </row>
    <row r="46" spans="1:20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2"/>
    </row>
    <row r="47" spans="1:20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2"/>
    </row>
    <row r="48" spans="1:20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2"/>
    </row>
    <row r="49" spans="1:20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2"/>
    </row>
    <row r="50" spans="1:20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2"/>
    </row>
    <row r="51" spans="1:20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2"/>
    </row>
    <row r="52" spans="1:20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3"/>
      <c r="T52" s="2"/>
    </row>
    <row r="53" spans="1:20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T53" s="2"/>
    </row>
    <row r="54" spans="1:20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3"/>
      <c r="T54" s="2"/>
    </row>
    <row r="55" spans="1:20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  <c r="T55" s="2"/>
    </row>
    <row r="56" spans="1:20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  <c r="T56" s="2"/>
    </row>
    <row r="57" spans="1:20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  <c r="T57" s="2"/>
    </row>
    <row r="58" spans="1:20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  <c r="T58" s="2"/>
    </row>
    <row r="59" spans="1:20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2"/>
    </row>
    <row r="60" spans="1:20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2"/>
    </row>
    <row r="61" spans="1:20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  <c r="T61" s="2"/>
    </row>
    <row r="62" spans="1:20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  <c r="T62" s="2"/>
    </row>
    <row r="63" spans="1:20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  <c r="T63" s="2"/>
    </row>
    <row r="64" spans="1:20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2"/>
    </row>
    <row r="65" spans="1:20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  <c r="T65" s="2"/>
    </row>
    <row r="66" spans="1:20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  <c r="T66" s="2"/>
    </row>
    <row r="67" spans="1:20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2"/>
    </row>
    <row r="68" spans="1:20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2"/>
    </row>
    <row r="69" spans="1:20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2"/>
    </row>
    <row r="70" spans="1:20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2"/>
    </row>
    <row r="71" spans="1:20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  <c r="T71" s="2"/>
    </row>
    <row r="72" spans="1:20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2"/>
    </row>
    <row r="73" spans="1:20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  <c r="T73" s="2"/>
    </row>
    <row r="74" spans="1:20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  <c r="T74" s="2"/>
    </row>
    <row r="75" spans="1:20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  <c r="T75" s="2"/>
    </row>
    <row r="76" spans="1:20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"/>
      <c r="T76" s="2"/>
    </row>
    <row r="77" spans="1:20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  <c r="T77" s="2"/>
    </row>
    <row r="78" spans="1:20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  <c r="T78" s="2"/>
    </row>
    <row r="79" spans="1:20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  <c r="T79" s="2"/>
    </row>
    <row r="80" spans="1:20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2"/>
    </row>
    <row r="81" spans="1:20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2"/>
    </row>
    <row r="82" spans="1:20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2"/>
    </row>
    <row r="83" spans="1:20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2"/>
    </row>
    <row r="84" spans="1:20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2"/>
    </row>
    <row r="85" spans="1:20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2"/>
    </row>
    <row r="86" spans="1:20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2"/>
    </row>
    <row r="87" spans="1:20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2"/>
    </row>
    <row r="88" spans="1:20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2"/>
    </row>
    <row r="89" spans="1:20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2"/>
    </row>
    <row r="90" spans="1:20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2"/>
    </row>
    <row r="91" spans="1:20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2"/>
    </row>
    <row r="92" spans="1:20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2"/>
    </row>
    <row r="93" spans="1:20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2"/>
    </row>
    <row r="94" spans="1:20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2"/>
    </row>
    <row r="95" spans="1:20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2"/>
    </row>
    <row r="96" spans="1:20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2"/>
    </row>
    <row r="97" spans="1:20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2"/>
    </row>
    <row r="98" spans="1:20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2"/>
    </row>
    <row r="99" spans="1:20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2"/>
    </row>
    <row r="100" spans="1:20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2"/>
    </row>
    <row r="101" spans="1:20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2"/>
    </row>
    <row r="102" spans="1:20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2"/>
    </row>
    <row r="103" spans="1:20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2"/>
    </row>
    <row r="104" spans="1:20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2"/>
    </row>
  </sheetData>
  <mergeCells count="1">
    <mergeCell ref="A1:T1"/>
  </mergeCells>
  <dataValidations count="7">
    <dataValidation type="list" sqref="E4:E104" xr:uid="{00000000-0002-0000-0000-000000000000}">
      <formula1>"AC,AL,AP,AM,BA,CE,DF,ES,GO,MA,MG,MS,MT,PA,PB,PE,PI,PR,RJ,RN,RO,RR,RS,SC,SE,SP,TO,Exterior"</formula1>
    </dataValidation>
    <dataValidation type="list" sqref="F4:F104" xr:uid="{00000000-0002-0000-0000-000001000000}">
      <formula1>"Professor(a),Coordenador(a),Gestor(a),Designer instrucional,Formador(a) de professores,Consultor(a),Outro"</formula1>
    </dataValidation>
    <dataValidation type="list" sqref="G4:G104" xr:uid="{00000000-0002-0000-0000-000002000000}">
      <formula1>"Educação Infantil,Ensino Fundamental,Ensino Médio,Ensino Técnico/Profissional,Ensino Superior,Educação Corporativa,Formação de Professores,Outro"</formula1>
    </dataValidation>
    <dataValidation type="list" sqref="H4:H104" xr:uid="{00000000-0002-0000-0000-000003000000}">
      <formula1>"Presencial,Híbrida,EaD"</formula1>
    </dataValidation>
    <dataValidation type="list" sqref="I4:I104 K4:Q104" xr:uid="{00000000-0002-0000-0000-000004000000}">
      <formula1>"Sim,Não"</formula1>
    </dataValidation>
    <dataValidation type="list" sqref="J4:J104" xr:uid="{00000000-0002-0000-0000-000005000000}">
      <formula1>"Livro físico,Versão digital,Biblioteca/instituição,Não possui,Não conhece"</formula1>
    </dataValidation>
    <dataValidation type="list" sqref="R4:R104" xr:uid="{00000000-0002-0000-0000-00000D000000}">
      <formula1>"E-mail,LinkedIn,Ambos,Não informado"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4"/>
  <sheetViews>
    <sheetView workbookViewId="0">
      <selection sqref="A1:X1"/>
    </sheetView>
  </sheetViews>
  <sheetFormatPr defaultRowHeight="14.25"/>
  <cols>
    <col min="1" max="3" width="14" customWidth="1"/>
    <col min="4" max="4" width="18" customWidth="1"/>
    <col min="5" max="5" width="16" customWidth="1"/>
    <col min="6" max="6" width="22" customWidth="1"/>
    <col min="7" max="7" width="24" customWidth="1"/>
    <col min="8" max="8" width="20" customWidth="1"/>
    <col min="9" max="9" width="42" customWidth="1"/>
    <col min="10" max="10" width="36" customWidth="1"/>
    <col min="11" max="11" width="24" customWidth="1"/>
    <col min="12" max="13" width="16" customWidth="1"/>
    <col min="14" max="14" width="14" customWidth="1"/>
    <col min="15" max="15" width="24" customWidth="1"/>
    <col min="16" max="16" width="16" customWidth="1"/>
    <col min="17" max="17" width="42" customWidth="1"/>
    <col min="18" max="18" width="14" customWidth="1"/>
    <col min="19" max="19" width="16" customWidth="1"/>
    <col min="20" max="21" width="18" customWidth="1"/>
    <col min="22" max="22" width="14" customWidth="1"/>
    <col min="23" max="23" width="16" customWidth="1"/>
    <col min="24" max="24" width="28" customWidth="1"/>
  </cols>
  <sheetData>
    <row r="1" spans="1:24" ht="27.95" customHeight="1">
      <c r="A1" s="5" t="s">
        <v>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3" spans="1:24" ht="33.950000000000003" customHeight="1">
      <c r="A3" s="1" t="s">
        <v>34</v>
      </c>
      <c r="B3" s="1" t="s">
        <v>1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</row>
    <row r="4" spans="1:24" ht="28.5">
      <c r="A4" s="2" t="s">
        <v>57</v>
      </c>
      <c r="B4" s="2" t="s">
        <v>22</v>
      </c>
      <c r="C4" s="2" t="s">
        <v>58</v>
      </c>
      <c r="D4" s="3">
        <v>46175.378472222219</v>
      </c>
      <c r="E4" s="2" t="s">
        <v>5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28</v>
      </c>
      <c r="N4" s="2">
        <v>35</v>
      </c>
      <c r="O4" s="2" t="s">
        <v>66</v>
      </c>
      <c r="P4" s="2" t="s">
        <v>67</v>
      </c>
      <c r="Q4" s="2" t="s">
        <v>68</v>
      </c>
      <c r="R4" s="2" t="s">
        <v>29</v>
      </c>
      <c r="S4" s="2" t="s">
        <v>29</v>
      </c>
      <c r="T4" s="2" t="s">
        <v>29</v>
      </c>
      <c r="U4" s="2" t="s">
        <v>31</v>
      </c>
      <c r="V4" s="2" t="s">
        <v>31</v>
      </c>
      <c r="W4" s="2">
        <v>8</v>
      </c>
      <c r="X4" s="2"/>
    </row>
    <row r="5" spans="1:24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/>
      <c r="B8" s="2"/>
      <c r="C8" s="2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/>
      <c r="B9" s="2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/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2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2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2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2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</sheetData>
  <mergeCells count="1">
    <mergeCell ref="A1:X1"/>
  </mergeCells>
  <dataValidations count="7">
    <dataValidation type="list" sqref="E4:E504" xr:uid="{00000000-0002-0000-0100-000000000000}">
      <formula1>"LinkedIn,Site da autora,QR Code do livro,Evento,Indicação,Busca orgânica,Outro"</formula1>
    </dataValidation>
    <dataValidation type="list" sqref="F4:F504" xr:uid="{00000000-0002-0000-0100-000001000000}">
      <formula1>"Visita inicial,Desafio enviado,Sugestão inicial exibida,Clique gerar plano,Cadastro iniciado,Cadastro concluído,Plano gerado,Envio por email solicitado,Clique conheça livro,Opt-in novidades,Saída/abandono"</formula1>
    </dataValidation>
    <dataValidation type="list" sqref="H4:H504" xr:uid="{00000000-0002-0000-0100-000002000000}">
      <formula1>"Texto,Áudio,Seleção rápida"</formula1>
    </dataValidation>
    <dataValidation type="list" sqref="K4:K504" xr:uid="{00000000-0002-0000-0100-000003000000}">
      <formula1>"Participação/engajamento,Colaboração,Avaliação,Uso de IA,Criatividade,Argumentação,Autonomia,Personalização,Gestão do tempo,Outro"</formula1>
    </dataValidation>
    <dataValidation type="list" sqref="M4:M504" xr:uid="{00000000-0002-0000-0100-000004000000}">
      <formula1>"Presencial,Híbrida,EaD"</formula1>
    </dataValidation>
    <dataValidation type="list" sqref="P4:P504" xr:uid="{00000000-0002-0000-0100-000005000000}">
      <formula1>"Criativas,Ágeis,Imersivas,Analíticas,Outras"</formula1>
    </dataValidation>
    <dataValidation type="list" sqref="R4:V504" xr:uid="{00000000-0002-0000-0100-000006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14" sqref="C14"/>
    </sheetView>
  </sheetViews>
  <sheetFormatPr defaultRowHeight="14.25"/>
  <cols>
    <col min="1" max="1" width="8" customWidth="1"/>
    <col min="2" max="2" width="28" customWidth="1"/>
    <col min="3" max="3" width="42" customWidth="1"/>
    <col min="4" max="4" width="28" customWidth="1"/>
    <col min="5" max="5" width="14" customWidth="1"/>
    <col min="6" max="6" width="22" customWidth="1"/>
    <col min="7" max="7" width="36" customWidth="1"/>
  </cols>
  <sheetData>
    <row r="1" spans="1:7" ht="27.95" customHeight="1">
      <c r="A1" s="5" t="s">
        <v>69</v>
      </c>
      <c r="B1" s="6"/>
      <c r="C1" s="6"/>
      <c r="D1" s="6"/>
      <c r="E1" s="6"/>
      <c r="F1" s="6"/>
      <c r="G1" s="6"/>
    </row>
    <row r="3" spans="1:7" ht="33.950000000000003" customHeight="1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56</v>
      </c>
    </row>
    <row r="4" spans="1:7">
      <c r="A4" s="2">
        <v>1</v>
      </c>
      <c r="B4" s="2" t="s">
        <v>76</v>
      </c>
      <c r="C4" s="2" t="s">
        <v>77</v>
      </c>
      <c r="D4" s="2" t="s">
        <v>78</v>
      </c>
      <c r="E4" s="2">
        <f>COUNTIF(T02_Interacoes!$F:$F,D4)</f>
        <v>0</v>
      </c>
      <c r="F4" s="4"/>
      <c r="G4" s="2" t="s">
        <v>79</v>
      </c>
    </row>
    <row r="5" spans="1:7" ht="28.5">
      <c r="A5" s="2">
        <v>2</v>
      </c>
      <c r="B5" s="2" t="s">
        <v>80</v>
      </c>
      <c r="C5" s="2" t="s">
        <v>81</v>
      </c>
      <c r="D5" s="2" t="s">
        <v>82</v>
      </c>
      <c r="E5" s="2">
        <f>COUNTIF(T02_Interacoes!$F:$F,D5)</f>
        <v>0</v>
      </c>
      <c r="F5" s="4">
        <f t="shared" ref="F5:F13" si="0">IFERROR(E5/E4,0)</f>
        <v>0</v>
      </c>
      <c r="G5" s="2" t="s">
        <v>117</v>
      </c>
    </row>
    <row r="6" spans="1:7">
      <c r="A6" s="2">
        <v>3</v>
      </c>
      <c r="B6" s="2" t="s">
        <v>83</v>
      </c>
      <c r="C6" s="2" t="s">
        <v>84</v>
      </c>
      <c r="D6" s="2" t="s">
        <v>85</v>
      </c>
      <c r="E6" s="2">
        <f>COUNTIF(T02_Interacoes!$F:$F,D6)</f>
        <v>0</v>
      </c>
      <c r="F6" s="4">
        <f t="shared" si="0"/>
        <v>0</v>
      </c>
      <c r="G6" s="2" t="s">
        <v>86</v>
      </c>
    </row>
    <row r="7" spans="1:7" ht="28.5">
      <c r="A7" s="2">
        <v>4</v>
      </c>
      <c r="B7" s="2" t="s">
        <v>118</v>
      </c>
      <c r="C7" s="2" t="s">
        <v>119</v>
      </c>
      <c r="D7" s="2" t="s">
        <v>120</v>
      </c>
      <c r="E7" s="2">
        <f>COUNTIF(T02_Interacoes!$F:$F,D7)</f>
        <v>0</v>
      </c>
      <c r="F7" s="4">
        <f t="shared" si="0"/>
        <v>0</v>
      </c>
      <c r="G7" s="2" t="s">
        <v>87</v>
      </c>
    </row>
    <row r="8" spans="1:7">
      <c r="A8" s="2">
        <v>5</v>
      </c>
      <c r="B8" s="2" t="s">
        <v>88</v>
      </c>
      <c r="C8" s="2" t="s">
        <v>89</v>
      </c>
      <c r="D8" s="2" t="s">
        <v>90</v>
      </c>
      <c r="E8" s="2">
        <f>COUNTIF(T02_Interacoes!$F:$F,D8)</f>
        <v>0</v>
      </c>
      <c r="F8" s="4">
        <f t="shared" si="0"/>
        <v>0</v>
      </c>
      <c r="G8" s="2" t="s">
        <v>91</v>
      </c>
    </row>
    <row r="9" spans="1:7">
      <c r="A9" s="2">
        <v>6</v>
      </c>
      <c r="B9" s="2" t="s">
        <v>92</v>
      </c>
      <c r="C9" s="2" t="s">
        <v>93</v>
      </c>
      <c r="D9" s="2" t="s">
        <v>94</v>
      </c>
      <c r="E9" s="2">
        <f>COUNTIF(T02_Interacoes!$F:$F,D9)</f>
        <v>0</v>
      </c>
      <c r="F9" s="4">
        <f t="shared" si="0"/>
        <v>0</v>
      </c>
      <c r="G9" s="2" t="s">
        <v>95</v>
      </c>
    </row>
    <row r="10" spans="1:7">
      <c r="A10" s="2">
        <v>7</v>
      </c>
      <c r="B10" s="2" t="s">
        <v>122</v>
      </c>
      <c r="C10" s="2" t="s">
        <v>123</v>
      </c>
      <c r="D10" s="2" t="s">
        <v>121</v>
      </c>
      <c r="E10" s="2">
        <f>COUNTIF(T02_Interacoes!$F:$F,D10)</f>
        <v>0</v>
      </c>
      <c r="F10" s="4">
        <f t="shared" si="0"/>
        <v>0</v>
      </c>
      <c r="G10" s="2" t="s">
        <v>96</v>
      </c>
    </row>
    <row r="11" spans="1:7">
      <c r="A11" s="2">
        <v>8</v>
      </c>
      <c r="B11" s="2" t="s">
        <v>97</v>
      </c>
      <c r="C11" s="2" t="s">
        <v>124</v>
      </c>
      <c r="D11" s="2" t="s">
        <v>98</v>
      </c>
      <c r="E11" s="2">
        <f>COUNTIF(T02_Interacoes!$F:$F,D11)</f>
        <v>0</v>
      </c>
      <c r="F11" s="4">
        <f t="shared" si="0"/>
        <v>0</v>
      </c>
      <c r="G11" s="2" t="s">
        <v>99</v>
      </c>
    </row>
    <row r="12" spans="1:7">
      <c r="A12" s="2">
        <v>9</v>
      </c>
      <c r="B12" s="2" t="s">
        <v>100</v>
      </c>
      <c r="C12" s="2" t="s">
        <v>101</v>
      </c>
      <c r="D12" s="2" t="s">
        <v>102</v>
      </c>
      <c r="E12" s="2">
        <f>COUNTIF(T02_Interacoes!$F:$F,D12)</f>
        <v>0</v>
      </c>
      <c r="F12" s="4">
        <f t="shared" si="0"/>
        <v>0</v>
      </c>
      <c r="G12" s="2" t="s">
        <v>103</v>
      </c>
    </row>
    <row r="13" spans="1:7">
      <c r="A13" s="2">
        <v>10</v>
      </c>
      <c r="B13" s="2" t="s">
        <v>104</v>
      </c>
      <c r="C13" s="2" t="s">
        <v>105</v>
      </c>
      <c r="D13" s="2" t="s">
        <v>106</v>
      </c>
      <c r="E13" s="2">
        <f>COUNTIF(T02_Interacoes!$F:$F,D13)</f>
        <v>0</v>
      </c>
      <c r="F13" s="4">
        <f t="shared" si="0"/>
        <v>0</v>
      </c>
      <c r="G13" s="2" t="s">
        <v>107</v>
      </c>
    </row>
  </sheetData>
  <mergeCells count="1">
    <mergeCell ref="A1:G1"/>
  </mergeCells>
  <conditionalFormatting sqref="F4:F13">
    <cfRule type="dataBar" priority="1">
      <dataBar>
        <cfvo type="min"/>
        <cfvo type="max"/>
        <color rgb="FFC026D3"/>
      </dataBar>
    </cfRule>
    <cfRule type="dataBar" priority="2">
      <dataBar>
        <cfvo type="min"/>
        <cfvo type="max"/>
        <color rgb="FFC026D3"/>
      </dataBar>
      <extLst>
        <ext xmlns:x14="http://schemas.microsoft.com/office/spreadsheetml/2009/9/main" uri="{B025F937-C7B1-47D3-B67F-A62EFF666E3E}">
          <x14:id>{C6FAA520-5C26-EB36-9271-29E07630FE5F}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FAA520-5C26-EB36-9271-29E07630FE5F}">
            <x14:dataBar>
              <x14:cfvo type="min"/>
              <x14:cfvo type="max"/>
              <x14:negativeFillColor auto="1"/>
              <x14:axisColor auto="1"/>
            </x14:dataBar>
          </x14:cfRule>
          <xm:sqref>F4:F13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04"/>
  <sheetViews>
    <sheetView tabSelected="1" workbookViewId="0">
      <selection sqref="A1:Q1"/>
    </sheetView>
  </sheetViews>
  <sheetFormatPr defaultRowHeight="14.25"/>
  <cols>
    <col min="1" max="2" width="14" customWidth="1"/>
    <col min="3" max="3" width="18" customWidth="1"/>
    <col min="4" max="4" width="42" customWidth="1"/>
    <col min="5" max="5" width="36" customWidth="1"/>
    <col min="6" max="6" width="24" customWidth="1"/>
    <col min="7" max="7" width="16" customWidth="1"/>
    <col min="8" max="8" width="22" customWidth="1"/>
    <col min="9" max="9" width="16" customWidth="1"/>
    <col min="10" max="10" width="14" customWidth="1"/>
    <col min="11" max="11" width="24" customWidth="1"/>
    <col min="12" max="12" width="16" customWidth="1"/>
    <col min="13" max="13" width="14" customWidth="1"/>
    <col min="14" max="14" width="18" customWidth="1"/>
    <col min="15" max="15" width="36" customWidth="1"/>
    <col min="16" max="16" width="18" customWidth="1"/>
    <col min="17" max="17" width="40" customWidth="1"/>
  </cols>
  <sheetData>
    <row r="1" spans="1:17" ht="27.95" customHeight="1">
      <c r="A1" s="5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17" ht="33.950000000000003" customHeight="1">
      <c r="A3" s="1" t="s">
        <v>109</v>
      </c>
      <c r="B3" s="1" t="s">
        <v>1</v>
      </c>
      <c r="C3" s="1" t="s">
        <v>36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8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50</v>
      </c>
      <c r="N3" s="1" t="s">
        <v>110</v>
      </c>
      <c r="O3" s="1" t="s">
        <v>111</v>
      </c>
      <c r="P3" s="1" t="s">
        <v>112</v>
      </c>
      <c r="Q3" s="1" t="s">
        <v>113</v>
      </c>
    </row>
    <row r="4" spans="1:17" ht="28.5">
      <c r="A4" s="2" t="s">
        <v>114</v>
      </c>
      <c r="B4" s="2" t="s">
        <v>22</v>
      </c>
      <c r="C4" s="3">
        <v>46175.380555555559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27</v>
      </c>
      <c r="I4" s="2" t="s">
        <v>28</v>
      </c>
      <c r="J4" s="2">
        <v>35</v>
      </c>
      <c r="K4" s="2" t="s">
        <v>66</v>
      </c>
      <c r="L4" s="2" t="s">
        <v>67</v>
      </c>
      <c r="M4" s="2" t="s">
        <v>29</v>
      </c>
      <c r="N4" s="2">
        <v>5</v>
      </c>
      <c r="O4" s="2" t="s">
        <v>115</v>
      </c>
      <c r="P4" s="2" t="s">
        <v>31</v>
      </c>
      <c r="Q4" s="2" t="s">
        <v>116</v>
      </c>
    </row>
    <row r="5" spans="1:17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</sheetData>
  <mergeCells count="1">
    <mergeCell ref="A1:Q1"/>
  </mergeCells>
  <conditionalFormatting sqref="N4:N50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5">
    <dataValidation type="list" sqref="F4:F504" xr:uid="{00000000-0002-0000-0300-000000000000}">
      <formula1>"Participação/engajamento,Colaboração,Avaliação,Uso de IA,Criatividade,Argumentação,Autonomia,Personalização,Gestão do tempo,Outro"</formula1>
    </dataValidation>
    <dataValidation type="list" sqref="I4:I504" xr:uid="{00000000-0002-0000-0300-000001000000}">
      <formula1>"Presencial,Híbrida,EaD"</formula1>
    </dataValidation>
    <dataValidation type="list" sqref="L4:L504" xr:uid="{00000000-0002-0000-0300-000002000000}">
      <formula1>"Criativas,Ágeis,Imersivas,Analíticas,Outras"</formula1>
    </dataValidation>
    <dataValidation type="list" sqref="M4:M504 P4:P504" xr:uid="{00000000-0002-0000-0300-000003000000}">
      <formula1>"Sim,Não"</formula1>
    </dataValidation>
    <dataValidation type="list" sqref="N4:N504" xr:uid="{00000000-0002-0000-0300-000004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T01_Usuarios</vt:lpstr>
      <vt:lpstr>T02_Interacoes</vt:lpstr>
      <vt:lpstr>T03_Funil</vt:lpstr>
      <vt:lpstr>T04_Inteligencia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Filatro</dc:creator>
  <cp:lastModifiedBy>Andrea Filatro</cp:lastModifiedBy>
  <dcterms:created xsi:type="dcterms:W3CDTF">2026-06-02T13:05:48Z</dcterms:created>
  <dcterms:modified xsi:type="dcterms:W3CDTF">2026-06-02T13:07:34Z</dcterms:modified>
</cp:coreProperties>
</file>